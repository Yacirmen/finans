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ltay\Desktop\TASARRUF\Dosyalar\"/>
    </mc:Choice>
  </mc:AlternateContent>
  <xr:revisionPtr revIDLastSave="0" documentId="13_ncr:1_{7C5030C1-4019-4AE1-A520-E0FC60C126D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ATA" sheetId="1" r:id="rId1"/>
    <sheet name="LISTELER" sheetId="3" r:id="rId2"/>
    <sheet name="SEKME" sheetId="2" r:id="rId3"/>
    <sheet name="KARŞILAŞTIRMA" sheetId="4" r:id="rId4"/>
    <sheet name="açıklama" sheetId="5" r:id="rId5"/>
  </sheets>
  <definedNames>
    <definedName name="_xlnm._FilterDatabase" localSheetId="3" hidden="1">KARŞILAŞTIRMA!$B$1:$I$21</definedName>
    <definedName name="EnerjiListesi">LISTELER!$A$1:$A$3</definedName>
    <definedName name="EvDurumuListesi">LISTELER!$B$1:$B$2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6" i="4" l="1"/>
  <c r="H19" i="4"/>
  <c r="H10" i="4"/>
  <c r="H2" i="4"/>
  <c r="H6" i="4" s="1"/>
  <c r="H7" i="4" s="1"/>
  <c r="D10" i="4"/>
  <c r="G14" i="4"/>
  <c r="E5" i="4"/>
  <c r="E14" i="4"/>
  <c r="B27" i="4" l="1"/>
  <c r="C18" i="4" s="1"/>
  <c r="H12" i="4"/>
  <c r="H11" i="4"/>
  <c r="H8" i="4"/>
  <c r="H13" i="4" s="1"/>
  <c r="H15" i="4" s="1"/>
  <c r="H17" i="4" s="1"/>
  <c r="H3" i="4"/>
  <c r="E7" i="4"/>
  <c r="F10" i="4"/>
  <c r="C14" i="4"/>
  <c r="C3" i="4"/>
  <c r="G3" i="4" s="1"/>
  <c r="C2" i="4"/>
  <c r="H2" i="2"/>
  <c r="B9" i="2" s="1"/>
  <c r="B10" i="2" s="1"/>
  <c r="H1" i="2"/>
  <c r="B8" i="2" s="1"/>
  <c r="G18" i="4" l="1"/>
  <c r="G21" i="4" s="1"/>
  <c r="H18" i="4"/>
  <c r="H21" i="4" s="1"/>
  <c r="F18" i="4"/>
  <c r="E18" i="4"/>
  <c r="E21" i="4" s="1"/>
  <c r="D18" i="4"/>
  <c r="E2" i="4"/>
  <c r="E3" i="4" s="1"/>
  <c r="G2" i="4"/>
  <c r="G5" i="4" s="1"/>
  <c r="G7" i="4" s="1"/>
  <c r="G8" i="4" s="1"/>
  <c r="G13" i="4" s="1"/>
  <c r="G15" i="4" s="1"/>
  <c r="G17" i="4" s="1"/>
  <c r="E8" i="4"/>
  <c r="E13" i="4" s="1"/>
  <c r="E15" i="4" s="1"/>
  <c r="E17" i="4" s="1"/>
  <c r="D11" i="4"/>
  <c r="F11" i="4"/>
  <c r="D2" i="4"/>
  <c r="F2" i="4" s="1"/>
  <c r="C5" i="4"/>
  <c r="C7" i="4" s="1"/>
  <c r="H4" i="4" l="1"/>
  <c r="G16" i="4"/>
  <c r="E16" i="4"/>
  <c r="F6" i="4"/>
  <c r="F7" i="4" s="1"/>
  <c r="F8" i="4"/>
  <c r="F13" i="4" s="1"/>
  <c r="F15" i="4" s="1"/>
  <c r="F3" i="4"/>
  <c r="F12" i="4" s="1"/>
  <c r="D8" i="4"/>
  <c r="D3" i="4"/>
  <c r="D12" i="4" s="1"/>
  <c r="D6" i="4"/>
  <c r="D7" i="4" s="1"/>
  <c r="C8" i="4"/>
  <c r="C13" i="4" s="1"/>
  <c r="C15" i="4" s="1"/>
  <c r="C17" i="4" s="1"/>
  <c r="F19" i="4" l="1"/>
  <c r="F4" i="4" s="1"/>
  <c r="F17" i="4"/>
  <c r="D13" i="4"/>
  <c r="C16" i="4"/>
  <c r="C21" i="4"/>
  <c r="F21" i="4" l="1"/>
  <c r="D19" i="4"/>
  <c r="D21" i="4" s="1"/>
  <c r="D15" i="4"/>
  <c r="D17" i="4" s="1"/>
  <c r="D4" i="4" l="1"/>
</calcChain>
</file>

<file path=xl/sharedStrings.xml><?xml version="1.0" encoding="utf-8"?>
<sst xmlns="http://schemas.openxmlformats.org/spreadsheetml/2006/main" count="186" uniqueCount="106">
  <si>
    <t>Taşınmazın Durumu</t>
  </si>
  <si>
    <t>Ekspertiz değeri*</t>
  </si>
  <si>
    <t>Enerji Sınıfı</t>
  </si>
  <si>
    <t>KREDİ-DEĞER ORANI / AZAMİ KREDİ TUTARI</t>
  </si>
  <si>
    <t>(kendisinin/eşinin/18 yaş altı çocuğunun başka evi* yoksa)</t>
  </si>
  <si>
    <t>(kendisinin/eşinin/18 yaş altı çocuğunun başka evi* varsa)</t>
  </si>
  <si>
    <t>1. El / 2. El</t>
  </si>
  <si>
    <t>DEĞER&lt;=5 milyon TL</t>
  </si>
  <si>
    <t>A - B</t>
  </si>
  <si>
    <t>C</t>
  </si>
  <si>
    <t>Diğer</t>
  </si>
  <si>
    <t>5 milyon TL &lt; DEĞER &lt;= 7 milyon TL</t>
  </si>
  <si>
    <t>7 milyon TL &lt; DEĞER &lt;= 10 milyon TL</t>
  </si>
  <si>
    <t>10 milyon TL &lt; DEĞER &lt;= 20 milyon TL</t>
  </si>
  <si>
    <t>DEĞER &gt; 20 milyon TL</t>
  </si>
  <si>
    <t>Kredi Oranı Hesaplayıcı</t>
  </si>
  <si>
    <t>DATA sayfasındaki oranlara göre ekspertiz değeri, enerji sınıfı ve ev durumu girildiğinde kredi oranı ile azami kredi tutarı otomatik hesaplanır.</t>
  </si>
  <si>
    <t>Ekspertiz Değeri (TL)</t>
  </si>
  <si>
    <t>Manuel giriş</t>
  </si>
  <si>
    <t>Açılır liste</t>
  </si>
  <si>
    <t>Başka Evi Var mı?</t>
  </si>
  <si>
    <t>Ekspertiz Aralığı</t>
  </si>
  <si>
    <t>Kredi Oranı</t>
  </si>
  <si>
    <t>Ekspertiz değerinin krediye konu olabilecek oranı</t>
  </si>
  <si>
    <t>Azami Kredi Tutarı</t>
  </si>
  <si>
    <t>Seçime göre hesaplanan üst limit</t>
  </si>
  <si>
    <t>Giriş alanları sarı renktedir. Enerji sınıfı ve ev durumu için açılır listeleri kullanabilirsiniz.</t>
  </si>
  <si>
    <t>Yok</t>
  </si>
  <si>
    <t>Var</t>
  </si>
  <si>
    <t>Senaryo A – Banka Kredisi</t>
  </si>
  <si>
    <t>Senaryo B – Evim Sistemleri</t>
  </si>
  <si>
    <t>Ev Değeri</t>
  </si>
  <si>
    <t>Peşinat Tutarı</t>
  </si>
  <si>
    <t>Organizasyon/Sistem Giriş Ücreti</t>
  </si>
  <si>
    <t>Toplam Başlangıç Çıkışı (t=0 Nakit Akışı)</t>
  </si>
  <si>
    <t>Kredi Miktarı / Finansman Tutarı</t>
  </si>
  <si>
    <t>Aylık Faiz Oranı (%)</t>
  </si>
  <si>
    <t>Vade (Ay)</t>
  </si>
  <si>
    <t>Aylık Taksit</t>
  </si>
  <si>
    <t xml:space="preserve">Toplam Geri Ödeme </t>
  </si>
  <si>
    <t>Toplam Faiz+Maliyetler</t>
  </si>
  <si>
    <t>Toplam Maliyet</t>
  </si>
  <si>
    <t>Aylık İskonto Oranı</t>
  </si>
  <si>
    <t>Evin Teslim Zamanı (0=Bugün / 20=20.ay)</t>
  </si>
  <si>
    <t>Teslim Öncesi Kira Ödüyorsanız Kaç TL?</t>
  </si>
  <si>
    <t>NPV Hesaplaması (Daha yüksek NPV = daha mantıklı)</t>
  </si>
  <si>
    <t>YOK</t>
  </si>
  <si>
    <t>İlave Maliyet (Tahsis, Rehin, Ekspertiz,Sigorta)</t>
  </si>
  <si>
    <t>Operasyonda kullanacağın net karar cümleleri</t>
  </si>
  <si>
    <t>Şirket içinde en doğru sabit cümleler bunlar olur:</t>
  </si>
  <si>
    <t>Kesin cümle 1:</t>
  </si>
  <si>
    <t xml:space="preserve">“Müşteri 150 gün ve 5 tasarruf ödemesi tamamlanmadan tahsisat alamaz.” </t>
  </si>
  <si>
    <t>Kesin cümle 2:</t>
  </si>
  <si>
    <t xml:space="preserve">“Müşteri bazlı sözleşmelerde %40 tasarruf ve %40 süre şartı sağlanmadan tahsisat yapılamaz; ilk taksit peşinatı yalnızca süre şartını, peşinat oranı kadar azaltabilir.” </t>
  </si>
  <si>
    <t>Kesin cümle 3:</t>
  </si>
  <si>
    <t xml:space="preserve">“Çekilişli sözleşmelerde peşinat, %40 süreyi azaltmaz; ara dönem ödemeleriyle tahsisat tarihi öne çekilemez.” </t>
  </si>
  <si>
    <t>Kesin cümle 4:</t>
  </si>
  <si>
    <t xml:space="preserve">“Uzun toplam vade tek başına 150 gün teslimi engellemez; ancak %40 süre ve sözleşmedeki tahsisat sırası fiilen belirleyicidir.” Bu, mevzuat hükümlerinin birlikte okunmasından çıkan sonuçtur. </t>
  </si>
  <si>
    <t>Kesin cümle 5:</t>
  </si>
  <si>
    <t>“Tahsisat tarihi geldiğinde ödeme, sözleşme ve mevzuat şartları saklı kalmak kaydıyla en geç 10 iş günü içinde satıcı hesabına yapılır.”</t>
  </si>
  <si>
    <t>Peşinatlı müşteri bazlı sözleşme formülü</t>
  </si>
  <si>
    <t>Düzeltilmiş Asgari Süre = Toplam Sözleşme Süresi × (%40 − İlk Taksitle Alınan Peşinat Oranı)</t>
  </si>
  <si>
    <t>⚠️ Ancak:</t>
  </si>
  <si>
    <r>
      <t xml:space="preserve">Bu hesap </t>
    </r>
    <r>
      <rPr>
        <b/>
        <sz val="11"/>
        <color theme="1"/>
        <rFont val="Calibri"/>
        <family val="2"/>
        <scheme val="minor"/>
      </rPr>
      <t>yalnızca ilk taksitle alınan peşinat</t>
    </r>
    <r>
      <rPr>
        <sz val="11"/>
        <color theme="1"/>
        <rFont val="Calibri"/>
        <family val="2"/>
        <scheme val="minor"/>
      </rPr>
      <t xml:space="preserve"> için geçerli</t>
    </r>
  </si>
  <si>
    <t>Sonradan yatırılan para dahil edilmez</t>
  </si>
  <si>
    <r>
      <t xml:space="preserve">Nihai alt sınır yine </t>
    </r>
    <r>
      <rPr>
        <b/>
        <sz val="11"/>
        <color theme="1"/>
        <rFont val="Calibri"/>
        <family val="2"/>
        <scheme val="minor"/>
      </rPr>
      <t>150 gün</t>
    </r>
  </si>
  <si>
    <r>
      <t xml:space="preserve">📌 </t>
    </r>
    <r>
      <rPr>
        <b/>
        <sz val="11"/>
        <color theme="1"/>
        <rFont val="Calibri"/>
        <family val="2"/>
        <scheme val="minor"/>
      </rPr>
      <t>Kesin operasyon cümlesi:</t>
    </r>
  </si>
  <si>
    <t>Müşteri bazlı sözleşmelerde tahsisat için esas alınacak süre, toplam sözleşme süresinin %40’ıdır; bu süre yalnızca ilk taksitle birlikte alınan peşinat oranı kadar azaltılabilir, ancak hiçbir durumda 150 günün altına inilemez.</t>
  </si>
  <si>
    <t>%20 peşinat (ilk taksitle)</t>
  </si>
  <si>
    <r>
      <t xml:space="preserve">Sözleşme süresi: </t>
    </r>
    <r>
      <rPr>
        <b/>
        <sz val="11"/>
        <color theme="1"/>
        <rFont val="Calibri"/>
        <family val="2"/>
        <scheme val="minor"/>
      </rPr>
      <t>60 ay</t>
    </r>
  </si>
  <si>
    <r>
      <t xml:space="preserve">%40 süre = </t>
    </r>
    <r>
      <rPr>
        <b/>
        <sz val="11"/>
        <color theme="1"/>
        <rFont val="Calibri"/>
        <family val="2"/>
        <scheme val="minor"/>
      </rPr>
      <t>24 ay</t>
    </r>
  </si>
  <si>
    <r>
      <t xml:space="preserve">Peşinat oranı = </t>
    </r>
    <r>
      <rPr>
        <b/>
        <sz val="11"/>
        <color theme="1"/>
        <rFont val="Calibri"/>
        <family val="2"/>
        <scheme val="minor"/>
      </rPr>
      <t>%20</t>
    </r>
  </si>
  <si>
    <r>
      <t xml:space="preserve">Düzeltilmiş süre = </t>
    </r>
    <r>
      <rPr>
        <b/>
        <sz val="11"/>
        <color theme="1"/>
        <rFont val="Calibri"/>
        <family val="2"/>
        <scheme val="minor"/>
      </rPr>
      <t>60 × (%40 − %20) = 12 ay</t>
    </r>
  </si>
  <si>
    <t>📌 Sonuç:</t>
  </si>
  <si>
    <t>İlk taksitle alınan %20 peşinat nedeniyle %40 süre şartı 24 aydan 12 aya düşer.</t>
  </si>
  <si>
    <t>Sonradan ek ödeme geçersiz</t>
  </si>
  <si>
    <r>
      <t xml:space="preserve">Sözleşme süresi: </t>
    </r>
    <r>
      <rPr>
        <b/>
        <sz val="11"/>
        <color theme="1"/>
        <rFont val="Calibri"/>
        <family val="2"/>
        <scheme val="minor"/>
      </rPr>
      <t>80 ay</t>
    </r>
  </si>
  <si>
    <t>İlk taksitte peşinat yok</t>
  </si>
  <si>
    <t>4. ayda müşteri %25 ek ödeme yaptı</t>
  </si>
  <si>
    <t>4. ayda yapılan ek ödeme, %40 süre şartını azaltmaz ve tahsisat tarihini öne çekmez.</t>
  </si>
  <si>
    <t>Kesin Kural 1</t>
  </si>
  <si>
    <t>Müşteri bazlı sözleşmelerde tahsisat için toplam sözleşme süresinin en az %40’ının tamamlanmış olması esastır.</t>
  </si>
  <si>
    <t>Kesin Kural 2</t>
  </si>
  <si>
    <t>150 gün ve 5 tasarruf ödemesi tamamlanmış olsa dahi, %40 süre şartı sağlanmadan tahsisat yapılamaz.</t>
  </si>
  <si>
    <t>Kesin Kural 3</t>
  </si>
  <si>
    <t>%40 süre şartı yalnızca ilk taksitle birlikte tahsil edilen peşinat oranı kadar azaltılabilir.</t>
  </si>
  <si>
    <t>Kesin Kural 4</t>
  </si>
  <si>
    <t>İlk taksit dışında yapılan ara ödeme, ek ödeme veya sonradan yatırılan peşinat; %40 süre şartını azaltmaz ve tahsisat tarihini öne çekmez.</t>
  </si>
  <si>
    <t>Kesin Kural 5</t>
  </si>
  <si>
    <t>Peşinat nedeniyle azaltılmış süre 150 günün altına inse dahi, müşteri bazlı sözleşmelerde tahsisat 150 günden önce yapılamaz.</t>
  </si>
  <si>
    <t>Vade (%40 Süre)</t>
  </si>
  <si>
    <t>Vade (Peşinat Oranıyla Düzeltilmiş Süre)</t>
  </si>
  <si>
    <t>Peşinat Oranı (ilk taksit ile)</t>
  </si>
  <si>
    <t>Peşinat Oranı (teslimata kadar ödeme)</t>
  </si>
  <si>
    <t>AÇIKLAMA</t>
  </si>
  <si>
    <t>MANUEL</t>
  </si>
  <si>
    <t>FORMÜL</t>
  </si>
  <si>
    <t>GOAL SEEK FORMÜLÜ İLE EN İYİ PEŞİNAT TUTARINI BULABİLİRLER.</t>
  </si>
  <si>
    <t>DEĞİŞKEN</t>
  </si>
  <si>
    <t>Senaryo D – Evim Sistemleri (Optimal)</t>
  </si>
  <si>
    <t>Senaryo C– Banka Kredisi (Evim Optimal)</t>
  </si>
  <si>
    <t>Senaryo E – Banka Kredisi Max Vade</t>
  </si>
  <si>
    <t>Senaryo F – Evim Sistemleri</t>
  </si>
  <si>
    <t>2,10 NASIL BULUNUR AYLIK İSKONTO ORANI</t>
  </si>
  <si>
    <t>TR 10 yıllık tahvil faizlerinden</t>
  </si>
  <si>
    <t>GÜNLÜK TCMB DEN ALABİLİRİZ. FAKAT BU ORAN MÜŞTERİLERİN ÖNGÖRÜSÜNE BIRAKILMALI ÖRNEK SİTEDE %25 GELİYOR ÖRNEĞİN İSTERSEN DEĞİŞTİRİYORSUN.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</si>
</sst>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 [$₺-41F]"/>
    <numFmt numFmtId="165" formatCode="[$₺]#,##0"/>
    <numFmt numFmtId="166" formatCode="0.0%"/>
    <numFmt numFmtId="167" formatCode="[$₺]#,##0.00"/>
  </numFmts>
  <fonts count="19">
    <font>
      <sz val="11"/>
      <color theme="1"/>
      <name val="Calibri"/>
      <family val="2"/>
      <scheme val="minor"/>
    </font>
    <font>
      <sz val="8"/>
      <color rgb="FF003A72"/>
      <name val="ProximaR"/>
    </font>
    <font>
      <b/>
      <sz val="8"/>
      <color rgb="FF003A72"/>
      <name val="ProximaR"/>
    </font>
    <font>
      <b/>
      <sz val="14"/>
      <color rgb="FFFFFFFF"/>
      <name val="Calibri"/>
    </font>
    <font>
      <sz val="10"/>
      <color rgb="FF1F1F1F"/>
      <name val="Calibri"/>
    </font>
    <font>
      <b/>
      <sz val="11"/>
      <color rgb="FF1F1F1F"/>
      <name val="Calibri"/>
    </font>
    <font>
      <b/>
      <sz val="11"/>
      <color rgb="FF0000FF"/>
      <name val="Calibri"/>
    </font>
    <font>
      <b/>
      <sz val="11"/>
      <color rgb="FF000000"/>
      <name val="Calibri"/>
    </font>
    <font>
      <i/>
      <sz val="10"/>
      <color rgb="FF666666"/>
      <name val="Calibri"/>
    </font>
    <font>
      <i/>
      <sz val="9"/>
      <color rgb="FF666666"/>
      <name val="Calibri"/>
    </font>
    <font>
      <sz val="9"/>
      <color rgb="FF666666"/>
      <name val="Calibri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B050"/>
      <name val="Calibri"/>
      <family val="2"/>
      <charset val="16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rgb="FF15803D"/>
      <name val="Calibri"/>
      <family val="2"/>
      <charset val="16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DF3F9"/>
      </patternFill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3F6FA"/>
      </patternFill>
    </fill>
    <fill>
      <patternFill patternType="solid">
        <fgColor rgb="FFFDFDFD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 style="medium">
        <color rgb="FF1F4E78"/>
      </right>
      <top style="medium">
        <color rgb="FF1F4E78"/>
      </top>
      <bottom style="medium">
        <color rgb="FF1F4E78"/>
      </bottom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5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9" fontId="2" fillId="3" borderId="0" xfId="0" applyNumberFormat="1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9" fontId="2" fillId="2" borderId="0" xfId="0" applyNumberFormat="1" applyFont="1" applyFill="1" applyAlignment="1">
      <alignment horizontal="left" vertical="center" wrapText="1"/>
    </xf>
    <xf numFmtId="10" fontId="2" fillId="3" borderId="0" xfId="0" applyNumberFormat="1" applyFont="1" applyFill="1" applyAlignment="1">
      <alignment horizontal="left" vertical="center" wrapText="1"/>
    </xf>
    <xf numFmtId="10" fontId="2" fillId="2" borderId="0" xfId="0" applyNumberFormat="1" applyFont="1" applyFill="1" applyAlignment="1">
      <alignment horizontal="left" vertical="center" wrapText="1"/>
    </xf>
    <xf numFmtId="0" fontId="5" fillId="6" borderId="2" xfId="0" applyFont="1" applyFill="1" applyBorder="1" applyAlignment="1">
      <alignment vertical="center"/>
    </xf>
    <xf numFmtId="164" fontId="6" fillId="7" borderId="2" xfId="0" applyNumberFormat="1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6" fillId="7" borderId="2" xfId="0" applyFont="1" applyFill="1" applyBorder="1" applyAlignment="1">
      <alignment horizontal="left" vertical="center"/>
    </xf>
    <xf numFmtId="0" fontId="7" fillId="8" borderId="2" xfId="0" applyFont="1" applyFill="1" applyBorder="1" applyAlignment="1">
      <alignment horizontal="left" vertical="center"/>
    </xf>
    <xf numFmtId="10" fontId="7" fillId="8" borderId="2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164" fontId="7" fillId="8" borderId="2" xfId="0" applyNumberFormat="1" applyFont="1" applyFill="1" applyBorder="1" applyAlignment="1">
      <alignment horizontal="left" vertical="center"/>
    </xf>
    <xf numFmtId="0" fontId="0" fillId="0" borderId="0" xfId="0"/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165" fontId="13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 wrapText="1"/>
    </xf>
    <xf numFmtId="9" fontId="13" fillId="0" borderId="0" xfId="0" applyNumberFormat="1" applyFont="1" applyAlignment="1">
      <alignment horizontal="center" vertical="center" wrapText="1"/>
    </xf>
    <xf numFmtId="10" fontId="13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 wrapText="1"/>
    </xf>
    <xf numFmtId="167" fontId="14" fillId="0" borderId="0" xfId="0" applyNumberFormat="1" applyFont="1" applyAlignment="1">
      <alignment horizontal="center" vertical="center"/>
    </xf>
    <xf numFmtId="165" fontId="13" fillId="10" borderId="0" xfId="0" applyNumberFormat="1" applyFont="1" applyFill="1" applyAlignment="1">
      <alignment horizontal="center" vertical="center"/>
    </xf>
    <xf numFmtId="4" fontId="0" fillId="0" borderId="0" xfId="0" applyNumberFormat="1"/>
    <xf numFmtId="0" fontId="15" fillId="0" borderId="0" xfId="0" applyFont="1" applyAlignment="1">
      <alignment vertical="center"/>
    </xf>
    <xf numFmtId="0" fontId="11" fillId="0" borderId="0" xfId="0" applyFont="1"/>
    <xf numFmtId="0" fontId="1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3" fillId="10" borderId="0" xfId="0" applyFont="1" applyFill="1" applyAlignment="1">
      <alignment horizontal="center" vertical="center" wrapText="1"/>
    </xf>
    <xf numFmtId="9" fontId="0" fillId="0" borderId="0" xfId="0" applyNumberFormat="1"/>
    <xf numFmtId="0" fontId="0" fillId="11" borderId="0" xfId="0" applyFill="1"/>
    <xf numFmtId="165" fontId="0" fillId="11" borderId="0" xfId="0" applyNumberFormat="1" applyFill="1"/>
    <xf numFmtId="0" fontId="12" fillId="11" borderId="0" xfId="0" applyFont="1" applyFill="1" applyAlignment="1">
      <alignment vertical="center" wrapText="1"/>
    </xf>
    <xf numFmtId="0" fontId="13" fillId="12" borderId="0" xfId="0" applyFont="1" applyFill="1" applyAlignment="1">
      <alignment horizontal="center" vertical="center" wrapText="1"/>
    </xf>
    <xf numFmtId="0" fontId="18" fillId="12" borderId="0" xfId="0" applyFont="1" applyFill="1"/>
    <xf numFmtId="10" fontId="0" fillId="0" borderId="0" xfId="1" applyNumberFormat="1" applyFont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4" fillId="5" borderId="2" xfId="0" applyFont="1" applyFill="1" applyBorder="1" applyAlignment="1">
      <alignment vertical="center" wrapText="1"/>
    </xf>
    <xf numFmtId="0" fontId="0" fillId="0" borderId="3" xfId="0" applyBorder="1"/>
    <xf numFmtId="0" fontId="3" fillId="4" borderId="1" xfId="0" applyFont="1" applyFill="1" applyBorder="1" applyAlignment="1">
      <alignment horizontal="center" vertical="center"/>
    </xf>
    <xf numFmtId="0" fontId="0" fillId="0" borderId="4" xfId="0" applyBorder="1"/>
    <xf numFmtId="0" fontId="8" fillId="9" borderId="2" xfId="0" applyFont="1" applyFill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workbookViewId="0">
      <selection sqref="A1:A2"/>
    </sheetView>
  </sheetViews>
  <sheetFormatPr defaultRowHeight="14.4"/>
  <cols>
    <col min="1" max="5" width="31.33203125" customWidth="1"/>
  </cols>
  <sheetData>
    <row r="1" spans="1:5" ht="16.350000000000001" customHeight="1">
      <c r="A1" s="43" t="s">
        <v>0</v>
      </c>
      <c r="B1" s="43" t="s">
        <v>1</v>
      </c>
      <c r="C1" s="43" t="s">
        <v>2</v>
      </c>
      <c r="D1" s="1" t="s">
        <v>3</v>
      </c>
      <c r="E1" s="1" t="s">
        <v>3</v>
      </c>
    </row>
    <row r="2" spans="1:5" ht="16.350000000000001" customHeight="1">
      <c r="A2" s="44"/>
      <c r="B2" s="44"/>
      <c r="C2" s="44"/>
      <c r="D2" s="1" t="s">
        <v>4</v>
      </c>
      <c r="E2" s="1" t="s">
        <v>5</v>
      </c>
    </row>
    <row r="3" spans="1:5">
      <c r="A3" s="2" t="s">
        <v>6</v>
      </c>
      <c r="B3" s="2" t="s">
        <v>7</v>
      </c>
      <c r="C3" s="2" t="s">
        <v>8</v>
      </c>
      <c r="D3" s="3">
        <v>0.9</v>
      </c>
      <c r="E3" s="6">
        <v>0.22500000000000001</v>
      </c>
    </row>
    <row r="4" spans="1:5">
      <c r="A4" s="4" t="s">
        <v>6</v>
      </c>
      <c r="B4" s="4" t="s">
        <v>7</v>
      </c>
      <c r="C4" s="4" t="s">
        <v>9</v>
      </c>
      <c r="D4" s="5">
        <v>0.8</v>
      </c>
      <c r="E4" s="7">
        <v>0.2</v>
      </c>
    </row>
    <row r="5" spans="1:5">
      <c r="A5" s="2" t="s">
        <v>6</v>
      </c>
      <c r="B5" s="2" t="s">
        <v>7</v>
      </c>
      <c r="C5" s="2" t="s">
        <v>10</v>
      </c>
      <c r="D5" s="3">
        <v>0.7</v>
      </c>
      <c r="E5" s="6">
        <v>0.17499999999999999</v>
      </c>
    </row>
    <row r="6" spans="1:5">
      <c r="A6" s="4" t="s">
        <v>6</v>
      </c>
      <c r="B6" s="4" t="s">
        <v>11</v>
      </c>
      <c r="C6" s="4" t="s">
        <v>8</v>
      </c>
      <c r="D6" s="5">
        <v>0.8</v>
      </c>
      <c r="E6" s="7">
        <v>0.2</v>
      </c>
    </row>
    <row r="7" spans="1:5">
      <c r="A7" s="2" t="s">
        <v>6</v>
      </c>
      <c r="B7" s="2" t="s">
        <v>11</v>
      </c>
      <c r="C7" s="2" t="s">
        <v>9</v>
      </c>
      <c r="D7" s="3">
        <v>0.7</v>
      </c>
      <c r="E7" s="6">
        <v>0.17499999999999999</v>
      </c>
    </row>
    <row r="8" spans="1:5">
      <c r="A8" s="4" t="s">
        <v>6</v>
      </c>
      <c r="B8" s="4" t="s">
        <v>11</v>
      </c>
      <c r="C8" s="4" t="s">
        <v>10</v>
      </c>
      <c r="D8" s="5">
        <v>0.6</v>
      </c>
      <c r="E8" s="7">
        <v>0.15</v>
      </c>
    </row>
    <row r="9" spans="1:5">
      <c r="A9" s="2" t="s">
        <v>6</v>
      </c>
      <c r="B9" s="2" t="s">
        <v>12</v>
      </c>
      <c r="C9" s="2" t="s">
        <v>8</v>
      </c>
      <c r="D9" s="3">
        <v>0.7</v>
      </c>
      <c r="E9" s="6">
        <v>0.17499999999999999</v>
      </c>
    </row>
    <row r="10" spans="1:5">
      <c r="A10" s="4" t="s">
        <v>6</v>
      </c>
      <c r="B10" s="4" t="s">
        <v>12</v>
      </c>
      <c r="C10" s="4" t="s">
        <v>9</v>
      </c>
      <c r="D10" s="5">
        <v>0.6</v>
      </c>
      <c r="E10" s="7">
        <v>0.15</v>
      </c>
    </row>
    <row r="11" spans="1:5">
      <c r="A11" s="2" t="s">
        <v>6</v>
      </c>
      <c r="B11" s="2" t="s">
        <v>12</v>
      </c>
      <c r="C11" s="2" t="s">
        <v>10</v>
      </c>
      <c r="D11" s="3">
        <v>0.5</v>
      </c>
      <c r="E11" s="6">
        <v>0.125</v>
      </c>
    </row>
    <row r="12" spans="1:5">
      <c r="A12" s="4" t="s">
        <v>6</v>
      </c>
      <c r="B12" s="4" t="s">
        <v>13</v>
      </c>
      <c r="C12" s="4" t="s">
        <v>8</v>
      </c>
      <c r="D12" s="5">
        <v>0.5</v>
      </c>
      <c r="E12" s="7">
        <v>0.125</v>
      </c>
    </row>
    <row r="13" spans="1:5">
      <c r="A13" s="2" t="s">
        <v>6</v>
      </c>
      <c r="B13" s="2" t="s">
        <v>13</v>
      </c>
      <c r="C13" s="2" t="s">
        <v>9</v>
      </c>
      <c r="D13" s="3">
        <v>0.4</v>
      </c>
      <c r="E13" s="6">
        <v>0.1</v>
      </c>
    </row>
    <row r="14" spans="1:5">
      <c r="A14" s="4" t="s">
        <v>6</v>
      </c>
      <c r="B14" s="4" t="s">
        <v>13</v>
      </c>
      <c r="C14" s="4" t="s">
        <v>10</v>
      </c>
      <c r="D14" s="5">
        <v>0.3</v>
      </c>
      <c r="E14" s="7">
        <v>7.4999999999999997E-2</v>
      </c>
    </row>
    <row r="15" spans="1:5">
      <c r="A15" s="2" t="s">
        <v>6</v>
      </c>
      <c r="B15" s="2" t="s">
        <v>14</v>
      </c>
      <c r="C15" s="2" t="s">
        <v>8</v>
      </c>
      <c r="D15" s="3">
        <v>0.4</v>
      </c>
      <c r="E15" s="6">
        <v>0.1</v>
      </c>
    </row>
    <row r="16" spans="1:5">
      <c r="A16" s="4" t="s">
        <v>6</v>
      </c>
      <c r="B16" s="4" t="s">
        <v>14</v>
      </c>
      <c r="C16" s="4" t="s">
        <v>9</v>
      </c>
      <c r="D16" s="5">
        <v>0.3</v>
      </c>
      <c r="E16" s="7">
        <v>7.4999999999999997E-2</v>
      </c>
    </row>
    <row r="17" spans="1:5">
      <c r="A17" s="2" t="s">
        <v>6</v>
      </c>
      <c r="B17" s="2" t="s">
        <v>14</v>
      </c>
      <c r="C17" s="2" t="s">
        <v>10</v>
      </c>
      <c r="D17" s="3">
        <v>0.2</v>
      </c>
      <c r="E17" s="6">
        <v>0.05</v>
      </c>
    </row>
  </sheetData>
  <mergeCells count="3">
    <mergeCell ref="C1:C2"/>
    <mergeCell ref="B1:B2"/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/>
  </sheetViews>
  <sheetFormatPr defaultRowHeight="14.4"/>
  <sheetData>
    <row r="1" spans="1:4">
      <c r="A1" t="s">
        <v>8</v>
      </c>
      <c r="B1" t="s">
        <v>27</v>
      </c>
      <c r="D1" t="s">
        <v>7</v>
      </c>
    </row>
    <row r="2" spans="1:4">
      <c r="A2" t="s">
        <v>9</v>
      </c>
      <c r="B2" t="s">
        <v>28</v>
      </c>
      <c r="D2" t="s">
        <v>11</v>
      </c>
    </row>
    <row r="3" spans="1:4">
      <c r="A3" t="s">
        <v>10</v>
      </c>
      <c r="D3" t="s">
        <v>12</v>
      </c>
    </row>
    <row r="4" spans="1:4">
      <c r="D4" t="s">
        <v>13</v>
      </c>
    </row>
    <row r="5" spans="1:4">
      <c r="D5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showGridLines="0" workbookViewId="0">
      <selection activeCell="C8" sqref="C8"/>
    </sheetView>
  </sheetViews>
  <sheetFormatPr defaultRowHeight="14.4"/>
  <cols>
    <col min="1" max="1" width="32" customWidth="1"/>
    <col min="2" max="2" width="22" customWidth="1"/>
    <col min="3" max="4" width="18" customWidth="1"/>
    <col min="5" max="6" width="13" customWidth="1"/>
    <col min="8" max="8" width="13" hidden="1" customWidth="1"/>
  </cols>
  <sheetData>
    <row r="1" spans="1:8" ht="28.05" customHeight="1">
      <c r="A1" s="47" t="s">
        <v>15</v>
      </c>
      <c r="B1" s="48"/>
      <c r="H1">
        <f>IF(B4="","",IF(B4&lt;=5000000,1,IF(B4&lt;=7000000,2,IF(B4&lt;=10000000,3,IF(B4&lt;=20000000,4,5)))))</f>
        <v>1</v>
      </c>
    </row>
    <row r="2" spans="1:8" ht="28.05" customHeight="1">
      <c r="A2" s="45" t="s">
        <v>16</v>
      </c>
      <c r="B2" s="46"/>
      <c r="H2">
        <f>IF(B6="","",IF(B6="Yok",1,2))</f>
        <v>1</v>
      </c>
    </row>
    <row r="3" spans="1:8" ht="22.05" customHeight="1"/>
    <row r="4" spans="1:8" ht="22.05" customHeight="1">
      <c r="A4" s="8" t="s">
        <v>17</v>
      </c>
      <c r="B4" s="9">
        <v>5000000</v>
      </c>
      <c r="C4" s="10" t="s">
        <v>18</v>
      </c>
    </row>
    <row r="5" spans="1:8" ht="22.05" customHeight="1">
      <c r="A5" s="8" t="s">
        <v>2</v>
      </c>
      <c r="B5" s="11" t="s">
        <v>8</v>
      </c>
      <c r="C5" s="10" t="s">
        <v>19</v>
      </c>
    </row>
    <row r="6" spans="1:8" ht="22.05" customHeight="1">
      <c r="A6" s="8" t="s">
        <v>20</v>
      </c>
      <c r="B6" s="11" t="s">
        <v>27</v>
      </c>
      <c r="C6" s="10" t="s">
        <v>19</v>
      </c>
    </row>
    <row r="7" spans="1:8" ht="22.05" customHeight="1"/>
    <row r="8" spans="1:8" ht="22.05" customHeight="1">
      <c r="A8" s="8" t="s">
        <v>21</v>
      </c>
      <c r="B8" s="12" t="str">
        <f>IF(H1="","",INDEX(LISTELER!$D$1:$D$5,H1))</f>
        <v>DEĞER&lt;=5 milyon TL</v>
      </c>
    </row>
    <row r="9" spans="1:8" ht="42" customHeight="1">
      <c r="A9" s="8" t="s">
        <v>22</v>
      </c>
      <c r="B9" s="13">
        <f>IF(OR(B4="",B5="",B6=""),"",INDEX(DATA!$D$3:$E$17,(H1-1)*3+MATCH(B5,LISTELER!$A$1:$A$3,0),H2))</f>
        <v>0.9</v>
      </c>
      <c r="C9" s="14" t="s">
        <v>23</v>
      </c>
    </row>
    <row r="10" spans="1:8" ht="22.05" customHeight="1">
      <c r="A10" s="8" t="s">
        <v>24</v>
      </c>
      <c r="B10" s="15">
        <f>IF(OR(B4="",B9=""),"",B4*B9)</f>
        <v>4500000</v>
      </c>
      <c r="C10" s="14" t="s">
        <v>25</v>
      </c>
    </row>
    <row r="11" spans="1:8" ht="22.05" customHeight="1"/>
    <row r="12" spans="1:8" ht="22.05" customHeight="1">
      <c r="A12" s="49" t="s">
        <v>26</v>
      </c>
      <c r="B12" s="46"/>
    </row>
    <row r="13" spans="1:8" ht="22.05" customHeight="1"/>
    <row r="14" spans="1:8" ht="22.05" customHeight="1"/>
  </sheetData>
  <mergeCells count="3">
    <mergeCell ref="A2:B2"/>
    <mergeCell ref="A1:B1"/>
    <mergeCell ref="A12:B12"/>
  </mergeCells>
  <dataValidations count="3">
    <dataValidation type="decimal" operator="greaterThan" allowBlank="1" errorTitle="Hatalı giriş" error="Lütfen 0'dan büyük sayısal bir ekspertiz değeri girin." promptTitle="Ekspertiz Değeri" prompt="Pozitif bir ekspertiz değeri girin." sqref="B4" xr:uid="{00000000-0002-0000-0100-000000000000}">
      <formula1>0</formula1>
    </dataValidation>
    <dataValidation type="list" allowBlank="1" promptTitle="Enerji Sınıfı" prompt="Listeden enerji sınıfını seçin." sqref="B5" xr:uid="{00000000-0002-0000-0100-000001000000}">
      <formula1>EnerjiListesi</formula1>
    </dataValidation>
    <dataValidation type="list" allowBlank="1" promptTitle="Ev Durumu" prompt="Listeden 'Yok' veya 'Var' seçin." sqref="B6" xr:uid="{00000000-0002-0000-0100-000002000000}">
      <formula1>EvDurumuListesi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CD08F-6781-4D77-8F4D-7017BA47C11C}">
  <dimension ref="B1:J27"/>
  <sheetViews>
    <sheetView tabSelected="1" topLeftCell="A10" zoomScale="85" zoomScaleNormal="85" workbookViewId="0">
      <selection activeCell="B26" sqref="B26"/>
    </sheetView>
  </sheetViews>
  <sheetFormatPr defaultRowHeight="14.4"/>
  <cols>
    <col min="2" max="2" width="43.21875" customWidth="1"/>
    <col min="3" max="3" width="19.44140625" customWidth="1"/>
    <col min="4" max="4" width="22.77734375" customWidth="1"/>
    <col min="5" max="5" width="19.44140625" customWidth="1"/>
    <col min="6" max="6" width="24.109375" bestFit="1" customWidth="1"/>
    <col min="7" max="7" width="17.33203125" customWidth="1"/>
    <col min="8" max="8" width="22.77734375" style="16" customWidth="1"/>
    <col min="9" max="9" width="11.109375" bestFit="1" customWidth="1"/>
    <col min="10" max="10" width="10" bestFit="1" customWidth="1"/>
  </cols>
  <sheetData>
    <row r="1" spans="2:10" ht="43.2">
      <c r="B1" s="17" t="s">
        <v>98</v>
      </c>
      <c r="C1" s="17" t="s">
        <v>29</v>
      </c>
      <c r="D1" s="17" t="s">
        <v>30</v>
      </c>
      <c r="E1" s="17" t="s">
        <v>100</v>
      </c>
      <c r="F1" s="17" t="s">
        <v>99</v>
      </c>
      <c r="G1" s="17" t="s">
        <v>101</v>
      </c>
      <c r="H1" s="17" t="s">
        <v>102</v>
      </c>
      <c r="I1" t="s">
        <v>94</v>
      </c>
    </row>
    <row r="2" spans="2:10">
      <c r="B2" s="39" t="s">
        <v>31</v>
      </c>
      <c r="C2" s="19">
        <f>SEKME!B4</f>
        <v>5000000</v>
      </c>
      <c r="D2" s="19">
        <f>C2</f>
        <v>5000000</v>
      </c>
      <c r="E2" s="19">
        <f>C2</f>
        <v>5000000</v>
      </c>
      <c r="F2" s="19">
        <f>D2</f>
        <v>5000000</v>
      </c>
      <c r="G2" s="19">
        <f>C2</f>
        <v>5000000</v>
      </c>
      <c r="H2" s="19">
        <f>G2</f>
        <v>5000000</v>
      </c>
      <c r="I2" t="s">
        <v>96</v>
      </c>
    </row>
    <row r="3" spans="2:10">
      <c r="B3" s="18" t="s">
        <v>92</v>
      </c>
      <c r="C3" s="20">
        <f>1-SEKME!B9</f>
        <v>9.9999999999999978E-2</v>
      </c>
      <c r="D3" s="21">
        <f>D5/D2</f>
        <v>0.1</v>
      </c>
      <c r="E3" s="21">
        <f>E5/E2</f>
        <v>0.22800000000000001</v>
      </c>
      <c r="F3" s="21">
        <f>F5/F2</f>
        <v>0.22800000000000001</v>
      </c>
      <c r="G3" s="20">
        <f>C3</f>
        <v>9.9999999999999978E-2</v>
      </c>
      <c r="H3" s="21">
        <f>H5/H2</f>
        <v>0.1</v>
      </c>
      <c r="I3" t="s">
        <v>96</v>
      </c>
    </row>
    <row r="4" spans="2:10">
      <c r="B4" s="18" t="s">
        <v>93</v>
      </c>
      <c r="C4" s="26" t="s">
        <v>46</v>
      </c>
      <c r="D4" s="21">
        <f>(D5+(D19*D13))/D2</f>
        <v>0.41499999999999998</v>
      </c>
      <c r="E4" s="26" t="s">
        <v>46</v>
      </c>
      <c r="F4" s="21">
        <f>(F5+(F19*F13))/F2</f>
        <v>0.42099999999999999</v>
      </c>
      <c r="G4" s="26" t="s">
        <v>46</v>
      </c>
      <c r="H4" s="21">
        <f>(H5+(H19*H13))/H2</f>
        <v>0.4</v>
      </c>
      <c r="I4" t="s">
        <v>96</v>
      </c>
    </row>
    <row r="5" spans="2:10">
      <c r="B5" s="39" t="s">
        <v>32</v>
      </c>
      <c r="C5" s="19">
        <f>C2*C3</f>
        <v>499999.99999999988</v>
      </c>
      <c r="D5" s="27">
        <v>500000</v>
      </c>
      <c r="E5" s="19">
        <f>F5</f>
        <v>1140000</v>
      </c>
      <c r="F5" s="27">
        <v>1140000</v>
      </c>
      <c r="G5" s="19">
        <f>G2*G3</f>
        <v>499999.99999999988</v>
      </c>
      <c r="H5" s="27">
        <v>500000</v>
      </c>
      <c r="I5" s="38" t="s">
        <v>95</v>
      </c>
    </row>
    <row r="6" spans="2:10">
      <c r="B6" s="18" t="s">
        <v>33</v>
      </c>
      <c r="C6" s="26" t="s">
        <v>46</v>
      </c>
      <c r="D6" s="19">
        <f>D2*7/100</f>
        <v>350000</v>
      </c>
      <c r="E6" s="26" t="s">
        <v>46</v>
      </c>
      <c r="F6" s="19">
        <f>F2*7/100</f>
        <v>350000</v>
      </c>
      <c r="G6" s="26" t="s">
        <v>46</v>
      </c>
      <c r="H6" s="19">
        <f>H2*7/100</f>
        <v>350000</v>
      </c>
      <c r="I6" t="s">
        <v>96</v>
      </c>
    </row>
    <row r="7" spans="2:10">
      <c r="B7" s="18" t="s">
        <v>34</v>
      </c>
      <c r="C7" s="19">
        <f t="shared" ref="C7:H7" si="0">SUM(C5:C6)</f>
        <v>499999.99999999988</v>
      </c>
      <c r="D7" s="19">
        <f t="shared" si="0"/>
        <v>850000</v>
      </c>
      <c r="E7" s="19">
        <f t="shared" si="0"/>
        <v>1140000</v>
      </c>
      <c r="F7" s="19">
        <f t="shared" si="0"/>
        <v>1490000</v>
      </c>
      <c r="G7" s="19">
        <f t="shared" si="0"/>
        <v>499999.99999999988</v>
      </c>
      <c r="H7" s="19">
        <f t="shared" si="0"/>
        <v>850000</v>
      </c>
      <c r="I7" t="s">
        <v>96</v>
      </c>
    </row>
    <row r="8" spans="2:10">
      <c r="B8" s="18" t="s">
        <v>35</v>
      </c>
      <c r="C8" s="19">
        <f>C2-C7</f>
        <v>4500000</v>
      </c>
      <c r="D8" s="19">
        <f>D2-D5</f>
        <v>4500000</v>
      </c>
      <c r="E8" s="19">
        <f>E2-E7</f>
        <v>3860000</v>
      </c>
      <c r="F8" s="19">
        <f>F2-F5</f>
        <v>3860000</v>
      </c>
      <c r="G8" s="19">
        <f>G2-G7</f>
        <v>4500000</v>
      </c>
      <c r="H8" s="19">
        <f>H2-H5</f>
        <v>4500000</v>
      </c>
      <c r="I8" t="s">
        <v>96</v>
      </c>
    </row>
    <row r="9" spans="2:10">
      <c r="B9" s="39" t="s">
        <v>36</v>
      </c>
      <c r="C9" s="22">
        <v>2.8400000000000002E-2</v>
      </c>
      <c r="D9" s="21">
        <v>0</v>
      </c>
      <c r="E9" s="22">
        <v>2.8400000000000002E-2</v>
      </c>
      <c r="F9" s="21">
        <v>0</v>
      </c>
      <c r="G9" s="22">
        <v>2.8400000000000002E-2</v>
      </c>
      <c r="H9" s="21">
        <v>0</v>
      </c>
      <c r="I9" s="38" t="s">
        <v>95</v>
      </c>
    </row>
    <row r="10" spans="2:10">
      <c r="B10" s="39" t="s">
        <v>37</v>
      </c>
      <c r="C10" s="23">
        <v>20</v>
      </c>
      <c r="D10" s="23">
        <f>C10</f>
        <v>20</v>
      </c>
      <c r="E10" s="23">
        <v>20</v>
      </c>
      <c r="F10" s="23">
        <f>D10</f>
        <v>20</v>
      </c>
      <c r="G10" s="23">
        <v>120</v>
      </c>
      <c r="H10" s="23">
        <f>G10</f>
        <v>120</v>
      </c>
      <c r="I10" s="38" t="s">
        <v>95</v>
      </c>
      <c r="J10" s="28"/>
    </row>
    <row r="11" spans="2:10">
      <c r="B11" s="18" t="s">
        <v>90</v>
      </c>
      <c r="C11" s="26" t="s">
        <v>46</v>
      </c>
      <c r="D11" s="35">
        <f>D10*0.4</f>
        <v>8</v>
      </c>
      <c r="E11" s="26" t="s">
        <v>46</v>
      </c>
      <c r="F11" s="35">
        <f>F10*0.4</f>
        <v>8</v>
      </c>
      <c r="G11" s="26" t="s">
        <v>46</v>
      </c>
      <c r="H11" s="35">
        <f>H10*0.4</f>
        <v>48</v>
      </c>
      <c r="I11" s="36" t="s">
        <v>96</v>
      </c>
    </row>
    <row r="12" spans="2:10">
      <c r="B12" s="18" t="s">
        <v>91</v>
      </c>
      <c r="C12" s="26" t="s">
        <v>46</v>
      </c>
      <c r="D12" s="35">
        <f>D10*(0.4-D3)</f>
        <v>6.0000000000000009</v>
      </c>
      <c r="E12" s="26" t="s">
        <v>46</v>
      </c>
      <c r="F12" s="35">
        <f>F10*(0.4-F3)</f>
        <v>3.4400000000000004</v>
      </c>
      <c r="G12" s="26" t="s">
        <v>46</v>
      </c>
      <c r="H12" s="35">
        <f>H10*(0.4-H3)</f>
        <v>36.000000000000007</v>
      </c>
      <c r="I12" s="36" t="s">
        <v>96</v>
      </c>
    </row>
    <row r="13" spans="2:10">
      <c r="B13" s="18" t="s">
        <v>38</v>
      </c>
      <c r="C13" s="19">
        <f>PMT(C9,C10,-C8)</f>
        <v>298014.02705001389</v>
      </c>
      <c r="D13" s="19">
        <f>D8/D10</f>
        <v>225000</v>
      </c>
      <c r="E13" s="19">
        <f>PMT(E9,E10,-E8)</f>
        <v>255629.80986956746</v>
      </c>
      <c r="F13" s="19">
        <f>F8/F10</f>
        <v>193000</v>
      </c>
      <c r="G13" s="19">
        <f>PMT(G9,G10,-G8)</f>
        <v>132396.51187901624</v>
      </c>
      <c r="H13" s="19">
        <f>H8/H10</f>
        <v>37500</v>
      </c>
      <c r="I13" t="s">
        <v>96</v>
      </c>
    </row>
    <row r="14" spans="2:10">
      <c r="B14" s="39" t="s">
        <v>47</v>
      </c>
      <c r="C14" s="19">
        <f>29500+25000</f>
        <v>54500</v>
      </c>
      <c r="D14" s="24">
        <v>0</v>
      </c>
      <c r="E14" s="19">
        <f>29500+25000</f>
        <v>54500</v>
      </c>
      <c r="F14" s="24">
        <v>0</v>
      </c>
      <c r="G14" s="19">
        <f>29500+25000</f>
        <v>54500</v>
      </c>
      <c r="H14" s="24">
        <v>0</v>
      </c>
      <c r="I14" s="37" t="s">
        <v>95</v>
      </c>
    </row>
    <row r="15" spans="2:10">
      <c r="B15" s="18" t="s">
        <v>39</v>
      </c>
      <c r="C15" s="19">
        <f t="shared" ref="C15:H15" si="1">C13*C10+C14</f>
        <v>6014780.5410002777</v>
      </c>
      <c r="D15" s="19">
        <f t="shared" si="1"/>
        <v>4500000</v>
      </c>
      <c r="E15" s="19">
        <f t="shared" si="1"/>
        <v>5167096.1973913489</v>
      </c>
      <c r="F15" s="19">
        <f t="shared" si="1"/>
        <v>3860000</v>
      </c>
      <c r="G15" s="19">
        <f t="shared" si="1"/>
        <v>15942081.425481949</v>
      </c>
      <c r="H15" s="19">
        <f t="shared" si="1"/>
        <v>4500000</v>
      </c>
      <c r="I15" t="s">
        <v>96</v>
      </c>
    </row>
    <row r="16" spans="2:10">
      <c r="B16" s="18" t="s">
        <v>40</v>
      </c>
      <c r="C16" s="19">
        <f>C15-C8</f>
        <v>1514780.5410002777</v>
      </c>
      <c r="D16" s="24">
        <v>0</v>
      </c>
      <c r="E16" s="19">
        <f>E15-E8</f>
        <v>1307096.1973913489</v>
      </c>
      <c r="F16" s="24">
        <v>0</v>
      </c>
      <c r="G16" s="19">
        <f>G15-G8</f>
        <v>11442081.425481949</v>
      </c>
      <c r="H16" s="24">
        <v>0</v>
      </c>
      <c r="I16" t="s">
        <v>96</v>
      </c>
    </row>
    <row r="17" spans="2:10">
      <c r="B17" s="18" t="s">
        <v>41</v>
      </c>
      <c r="C17" s="19">
        <f t="shared" ref="C17:H17" si="2">C15+C7</f>
        <v>6514780.5410002777</v>
      </c>
      <c r="D17" s="19">
        <f t="shared" si="2"/>
        <v>5350000</v>
      </c>
      <c r="E17" s="19">
        <f t="shared" si="2"/>
        <v>6307096.1973913489</v>
      </c>
      <c r="F17" s="19">
        <f t="shared" si="2"/>
        <v>5350000</v>
      </c>
      <c r="G17" s="19">
        <f t="shared" si="2"/>
        <v>16442081.425481949</v>
      </c>
      <c r="H17" s="19">
        <f t="shared" si="2"/>
        <v>5350000</v>
      </c>
      <c r="I17" t="s">
        <v>96</v>
      </c>
    </row>
    <row r="18" spans="2:10">
      <c r="B18" s="39" t="s">
        <v>42</v>
      </c>
      <c r="C18" s="22">
        <f>B27</f>
        <v>2.3605763261614676E-2</v>
      </c>
      <c r="D18" s="22">
        <f>C18</f>
        <v>2.3605763261614676E-2</v>
      </c>
      <c r="E18" s="22">
        <f>C18</f>
        <v>2.3605763261614676E-2</v>
      </c>
      <c r="F18" s="22">
        <f>C18</f>
        <v>2.3605763261614676E-2</v>
      </c>
      <c r="G18" s="22">
        <f>C18</f>
        <v>2.3605763261614676E-2</v>
      </c>
      <c r="H18" s="22">
        <f>C18</f>
        <v>2.3605763261614676E-2</v>
      </c>
      <c r="I18" s="37" t="s">
        <v>95</v>
      </c>
    </row>
    <row r="19" spans="2:10">
      <c r="B19" s="18" t="s">
        <v>43</v>
      </c>
      <c r="C19" s="24">
        <v>0</v>
      </c>
      <c r="D19" s="35">
        <f>MAX(ROUNDUP(MAX(0,D10*(40%-(D5/D2))),0),ROUNDUP(MAX(0,((D2*40%)-D5)/D13),0),5)</f>
        <v>7</v>
      </c>
      <c r="E19" s="24">
        <v>0</v>
      </c>
      <c r="F19" s="35">
        <f>MAX(ROUNDUP(MAX(0,F10*(40%-(F5/F2))),0),ROUNDUP(MAX(0,((F2*40%)-F5)/F13),0),5)</f>
        <v>5</v>
      </c>
      <c r="G19" s="24">
        <v>0</v>
      </c>
      <c r="H19" s="35">
        <f>MAX(ROUNDUP(MAX(0,H10*(40%-(H5/H2))),0),ROUNDUP(MAX(0,((H2*40%)-H5)/H13),0),5)</f>
        <v>40</v>
      </c>
      <c r="I19" t="s">
        <v>96</v>
      </c>
      <c r="J19" s="28" t="s">
        <v>97</v>
      </c>
    </row>
    <row r="20" spans="2:10">
      <c r="B20" s="39" t="s">
        <v>44</v>
      </c>
      <c r="C20" s="19">
        <v>0</v>
      </c>
      <c r="D20" s="19">
        <v>25000</v>
      </c>
      <c r="E20" s="19">
        <v>0</v>
      </c>
      <c r="F20" s="19">
        <v>25000</v>
      </c>
      <c r="G20" s="19">
        <v>0</v>
      </c>
      <c r="H20" s="19">
        <v>25000</v>
      </c>
      <c r="I20" s="37" t="s">
        <v>95</v>
      </c>
    </row>
    <row r="21" spans="2:10">
      <c r="B21" s="18" t="s">
        <v>45</v>
      </c>
      <c r="C21" s="19">
        <f t="shared" ref="C21:H21" si="3">-C7
+ (C2 / (1+C18)^C19)
+ PV(C18, C10, C13, 0, 0)
+ PV(C18, C19, C20, 0, 0)</f>
        <v>-207565.01573679224</v>
      </c>
      <c r="D21" s="25">
        <f t="shared" si="3"/>
        <v>-317186.7715544817</v>
      </c>
      <c r="E21" s="19">
        <f>-E7
+ (E2 / (1+E18)^E19)
+ PV(E18, E10, E13, 0, 0)
+ PV(E18, E19, E20, 0, 0)</f>
        <v>-178044.6579431151</v>
      </c>
      <c r="F21" s="25">
        <f t="shared" si="3"/>
        <v>-205878.42758239209</v>
      </c>
      <c r="G21" s="19">
        <f t="shared" si="3"/>
        <v>-767512.68589822575</v>
      </c>
      <c r="H21" s="25">
        <f t="shared" si="3"/>
        <v>-1018184.7523548985</v>
      </c>
      <c r="I21" t="s">
        <v>96</v>
      </c>
      <c r="J21" s="28" t="s">
        <v>97</v>
      </c>
    </row>
    <row r="23" spans="2:10">
      <c r="B23" t="s">
        <v>103</v>
      </c>
    </row>
    <row r="24" spans="2:10">
      <c r="B24" s="40" t="s">
        <v>104</v>
      </c>
    </row>
    <row r="25" spans="2:10" ht="23.4">
      <c r="B25" s="41">
        <v>32.31</v>
      </c>
      <c r="C25" t="s">
        <v>105</v>
      </c>
    </row>
    <row r="26" spans="2:10">
      <c r="B26">
        <f>B25/100</f>
        <v>0.3231</v>
      </c>
    </row>
    <row r="27" spans="2:10">
      <c r="B27" s="42">
        <f>((1+B26)^(1/12)-1)</f>
        <v>2.3605763261614676E-2</v>
      </c>
    </row>
  </sheetData>
  <autoFilter ref="B1:I21" xr:uid="{236CD08F-6781-4D77-8F4D-7017BA47C11C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B682D-777F-4FB5-9B52-750E400E2E2D}">
  <dimension ref="A1:A74"/>
  <sheetViews>
    <sheetView topLeftCell="A72" workbookViewId="0">
      <selection activeCell="A56" sqref="A56:A74"/>
    </sheetView>
  </sheetViews>
  <sheetFormatPr defaultRowHeight="14.4"/>
  <sheetData>
    <row r="1" spans="1:1" ht="23.4">
      <c r="A1" s="29" t="s">
        <v>48</v>
      </c>
    </row>
    <row r="3" spans="1:1">
      <c r="A3" t="s">
        <v>49</v>
      </c>
    </row>
    <row r="5" spans="1:1">
      <c r="A5" s="30" t="s">
        <v>50</v>
      </c>
    </row>
    <row r="6" spans="1:1">
      <c r="A6" t="s">
        <v>51</v>
      </c>
    </row>
    <row r="8" spans="1:1">
      <c r="A8" s="30" t="s">
        <v>52</v>
      </c>
    </row>
    <row r="9" spans="1:1">
      <c r="A9" t="s">
        <v>53</v>
      </c>
    </row>
    <row r="11" spans="1:1">
      <c r="A11" s="30" t="s">
        <v>54</v>
      </c>
    </row>
    <row r="12" spans="1:1">
      <c r="A12" t="s">
        <v>55</v>
      </c>
    </row>
    <row r="14" spans="1:1">
      <c r="A14" s="30" t="s">
        <v>56</v>
      </c>
    </row>
    <row r="15" spans="1:1">
      <c r="A15" t="s">
        <v>57</v>
      </c>
    </row>
    <row r="17" spans="1:1">
      <c r="A17" s="30" t="s">
        <v>58</v>
      </c>
    </row>
    <row r="18" spans="1:1">
      <c r="A18" t="s">
        <v>59</v>
      </c>
    </row>
    <row r="20" spans="1:1" ht="23.4">
      <c r="A20" s="29" t="s">
        <v>60</v>
      </c>
    </row>
    <row r="22" spans="1:1" ht="18">
      <c r="A22" s="31" t="s">
        <v>61</v>
      </c>
    </row>
    <row r="24" spans="1:1">
      <c r="A24" t="s">
        <v>62</v>
      </c>
    </row>
    <row r="25" spans="1:1">
      <c r="A25" s="32"/>
    </row>
    <row r="26" spans="1:1">
      <c r="A26" s="32" t="s">
        <v>63</v>
      </c>
    </row>
    <row r="27" spans="1:1">
      <c r="A27" s="32" t="s">
        <v>64</v>
      </c>
    </row>
    <row r="28" spans="1:1">
      <c r="A28" s="32" t="s">
        <v>65</v>
      </c>
    </row>
    <row r="30" spans="1:1">
      <c r="A30" t="s">
        <v>66</v>
      </c>
    </row>
    <row r="31" spans="1:1">
      <c r="A31" s="32"/>
    </row>
    <row r="32" spans="1:1">
      <c r="A32" s="33" t="s">
        <v>67</v>
      </c>
    </row>
    <row r="34" spans="1:1" ht="23.4">
      <c r="A34" s="29" t="s">
        <v>68</v>
      </c>
    </row>
    <row r="35" spans="1:1">
      <c r="A35" s="32"/>
    </row>
    <row r="36" spans="1:1">
      <c r="A36" s="32" t="s">
        <v>69</v>
      </c>
    </row>
    <row r="37" spans="1:1">
      <c r="A37" s="32" t="s">
        <v>70</v>
      </c>
    </row>
    <row r="38" spans="1:1">
      <c r="A38" s="32" t="s">
        <v>71</v>
      </c>
    </row>
    <row r="39" spans="1:1">
      <c r="A39" s="32" t="s">
        <v>72</v>
      </c>
    </row>
    <row r="41" spans="1:1">
      <c r="A41" t="s">
        <v>73</v>
      </c>
    </row>
    <row r="42" spans="1:1">
      <c r="A42" s="32"/>
    </row>
    <row r="43" spans="1:1">
      <c r="A43" s="33" t="s">
        <v>74</v>
      </c>
    </row>
    <row r="45" spans="1:1" ht="23.4">
      <c r="A45" s="29" t="s">
        <v>75</v>
      </c>
    </row>
    <row r="46" spans="1:1">
      <c r="A46" s="32"/>
    </row>
    <row r="47" spans="1:1">
      <c r="A47" s="32" t="s">
        <v>76</v>
      </c>
    </row>
    <row r="48" spans="1:1">
      <c r="A48" s="32" t="s">
        <v>77</v>
      </c>
    </row>
    <row r="49" spans="1:1">
      <c r="A49" s="32"/>
    </row>
    <row r="50" spans="1:1">
      <c r="A50" s="34" t="s">
        <v>78</v>
      </c>
    </row>
    <row r="52" spans="1:1">
      <c r="A52" t="s">
        <v>73</v>
      </c>
    </row>
    <row r="53" spans="1:1">
      <c r="A53" s="32"/>
    </row>
    <row r="54" spans="1:1">
      <c r="A54" s="33" t="s">
        <v>79</v>
      </c>
    </row>
    <row r="56" spans="1:1" ht="18">
      <c r="A56" s="31" t="s">
        <v>80</v>
      </c>
    </row>
    <row r="57" spans="1:1">
      <c r="A57" s="32"/>
    </row>
    <row r="58" spans="1:1">
      <c r="A58" s="33" t="s">
        <v>81</v>
      </c>
    </row>
    <row r="60" spans="1:1" ht="18">
      <c r="A60" s="31" t="s">
        <v>82</v>
      </c>
    </row>
    <row r="61" spans="1:1">
      <c r="A61" s="32"/>
    </row>
    <row r="62" spans="1:1">
      <c r="A62" s="33" t="s">
        <v>83</v>
      </c>
    </row>
    <row r="64" spans="1:1" ht="18">
      <c r="A64" s="31" t="s">
        <v>84</v>
      </c>
    </row>
    <row r="65" spans="1:1">
      <c r="A65" s="32"/>
    </row>
    <row r="66" spans="1:1">
      <c r="A66" s="33" t="s">
        <v>85</v>
      </c>
    </row>
    <row r="68" spans="1:1" ht="18">
      <c r="A68" s="31" t="s">
        <v>86</v>
      </c>
    </row>
    <row r="69" spans="1:1">
      <c r="A69" s="32"/>
    </row>
    <row r="70" spans="1:1">
      <c r="A70" s="33" t="s">
        <v>87</v>
      </c>
    </row>
    <row r="72" spans="1:1" ht="18">
      <c r="A72" s="31" t="s">
        <v>88</v>
      </c>
    </row>
    <row r="73" spans="1:1">
      <c r="A73" s="32"/>
    </row>
    <row r="74" spans="1:1">
      <c r="A74" s="33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DATA</vt:lpstr>
      <vt:lpstr>LISTELER</vt:lpstr>
      <vt:lpstr>SEKME</vt:lpstr>
      <vt:lpstr>KARŞILAŞTIRMA</vt:lpstr>
      <vt:lpstr>açıklama</vt:lpstr>
      <vt:lpstr>EnerjiListesi</vt:lpstr>
      <vt:lpstr>EvDurumuListesi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Mustafa Süner</cp:lastModifiedBy>
  <dcterms:modified xsi:type="dcterms:W3CDTF">2026-04-17T21:58:00Z</dcterms:modified>
</cp:coreProperties>
</file>