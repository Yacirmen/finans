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tay\Desktop\TASARRUF\"/>
    </mc:Choice>
  </mc:AlternateContent>
  <xr:revisionPtr revIDLastSave="0" documentId="13_ncr:1_{409F15F3-8FA8-4071-8352-BA902BDBA3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/>
  <c r="B9" i="1"/>
  <c r="B33" i="1" s="1"/>
  <c r="B6" i="1"/>
  <c r="A11" i="1" l="1"/>
  <c r="C9" i="1"/>
  <c r="A12" i="1" l="1"/>
  <c r="A13" i="1" s="1"/>
  <c r="A14" i="1" s="1"/>
  <c r="C11" i="1"/>
  <c r="C12" i="1" l="1"/>
  <c r="C13" i="1"/>
  <c r="A15" i="1"/>
  <c r="C14" i="1"/>
  <c r="C15" i="1" l="1"/>
  <c r="A16" i="1"/>
  <c r="A17" i="1" l="1"/>
  <c r="C16" i="1"/>
  <c r="A18" i="1" l="1"/>
  <c r="C17" i="1"/>
  <c r="C18" i="1" l="1"/>
  <c r="A19" i="1"/>
  <c r="C19" i="1" l="1"/>
  <c r="A20" i="1"/>
  <c r="A21" i="1" l="1"/>
  <c r="C20" i="1"/>
  <c r="A22" i="1" l="1"/>
  <c r="C21" i="1"/>
  <c r="A23" i="1" l="1"/>
  <c r="C22" i="1"/>
  <c r="C23" i="1" l="1"/>
  <c r="A24" i="1"/>
  <c r="A25" i="1" l="1"/>
  <c r="C24" i="1"/>
  <c r="A26" i="1" l="1"/>
  <c r="C25" i="1"/>
  <c r="C26" i="1" l="1"/>
  <c r="A27" i="1"/>
  <c r="A28" i="1" l="1"/>
  <c r="C27" i="1"/>
  <c r="A29" i="1" l="1"/>
  <c r="C28" i="1"/>
  <c r="A30" i="1" l="1"/>
  <c r="C29" i="1"/>
  <c r="A31" i="1" l="1"/>
  <c r="C30" i="1"/>
  <c r="C31" i="1" l="1"/>
  <c r="A32" i="1"/>
  <c r="B34" i="1" s="1"/>
  <c r="B35" i="1" s="1"/>
  <c r="C32" i="1" l="1"/>
  <c r="C33" i="1" s="1"/>
</calcChain>
</file>

<file path=xl/sharedStrings.xml><?xml version="1.0" encoding="utf-8"?>
<sst xmlns="http://schemas.openxmlformats.org/spreadsheetml/2006/main" count="11" uniqueCount="11">
  <si>
    <t>Bugünkü Değer Analizi</t>
  </si>
  <si>
    <t>AYLIK İSKONTO ORANI</t>
  </si>
  <si>
    <t>VADE</t>
  </si>
  <si>
    <t>SABİT</t>
  </si>
  <si>
    <t>PV-1</t>
  </si>
  <si>
    <t>Taksitlerin Bugünkü Değeri</t>
  </si>
  <si>
    <t>ALINACAK VARLIK DEĞERİ</t>
  </si>
  <si>
    <t>TAHMİNİ ENFLASYON</t>
  </si>
  <si>
    <t>ORGANİZASYON ÜCRET ORANI</t>
  </si>
  <si>
    <t>TEKABÜL EDEN AYLIK FAİZ ORANI</t>
  </si>
  <si>
    <t>TEKABÜL EDEN YILLIK FAİZ ORANI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</si>
</sst>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0.0%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6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  <charset val="16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Continuous" vertical="top"/>
    </xf>
    <xf numFmtId="164" fontId="3" fillId="2" borderId="0" xfId="1" applyNumberFormat="1" applyFont="1" applyFill="1" applyBorder="1" applyAlignment="1" applyProtection="1">
      <alignment horizontal="centerContinuous"/>
    </xf>
    <xf numFmtId="0" fontId="4" fillId="3" borderId="0" xfId="0" applyFont="1" applyFill="1"/>
    <xf numFmtId="164" fontId="4" fillId="3" borderId="0" xfId="1" applyNumberFormat="1" applyFont="1" applyFill="1" applyBorder="1" applyProtection="1"/>
    <xf numFmtId="164" fontId="5" fillId="0" borderId="0" xfId="1" applyNumberFormat="1" applyFont="1" applyProtection="1"/>
    <xf numFmtId="0" fontId="6" fillId="3" borderId="0" xfId="0" quotePrefix="1" applyFont="1" applyFill="1" applyAlignment="1">
      <alignment horizontal="left"/>
    </xf>
    <xf numFmtId="165" fontId="6" fillId="3" borderId="0" xfId="2" applyNumberFormat="1" applyFont="1" applyFill="1" applyBorder="1" applyAlignment="1" applyProtection="1">
      <alignment vertical="top"/>
      <protection locked="0"/>
    </xf>
    <xf numFmtId="0" fontId="4" fillId="3" borderId="0" xfId="0" quotePrefix="1" applyFont="1" applyFill="1" applyAlignment="1">
      <alignment horizontal="left"/>
    </xf>
    <xf numFmtId="164" fontId="4" fillId="3" borderId="0" xfId="1" applyNumberFormat="1" applyFont="1" applyFill="1" applyBorder="1" applyAlignment="1" applyProtection="1">
      <alignment vertical="top"/>
    </xf>
    <xf numFmtId="0" fontId="6" fillId="4" borderId="1" xfId="0" applyFont="1" applyFill="1" applyBorder="1" applyAlignment="1">
      <alignment horizontal="center" vertical="top"/>
    </xf>
    <xf numFmtId="164" fontId="6" fillId="4" borderId="1" xfId="1" applyNumberFormat="1" applyFont="1" applyFill="1" applyBorder="1" applyAlignment="1" applyProtection="1">
      <alignment horizontal="right"/>
    </xf>
    <xf numFmtId="0" fontId="4" fillId="3" borderId="0" xfId="0" applyFont="1" applyFill="1" applyAlignment="1">
      <alignment horizontal="center" vertical="top"/>
    </xf>
    <xf numFmtId="164" fontId="4" fillId="3" borderId="0" xfId="1" applyNumberFormat="1" applyFont="1" applyFill="1" applyBorder="1" applyAlignment="1" applyProtection="1">
      <alignment horizontal="right"/>
      <protection locked="0"/>
    </xf>
    <xf numFmtId="0" fontId="4" fillId="5" borderId="0" xfId="0" applyFont="1" applyFill="1" applyAlignment="1">
      <alignment horizontal="center" vertical="top"/>
    </xf>
    <xf numFmtId="164" fontId="4" fillId="5" borderId="0" xfId="1" applyNumberFormat="1" applyFont="1" applyFill="1" applyBorder="1" applyAlignment="1" applyProtection="1">
      <alignment horizontal="right"/>
      <protection locked="0"/>
    </xf>
    <xf numFmtId="0" fontId="6" fillId="4" borderId="2" xfId="0" applyFont="1" applyFill="1" applyBorder="1" applyAlignment="1">
      <alignment horizontal="left" vertical="center"/>
    </xf>
    <xf numFmtId="164" fontId="0" fillId="0" borderId="0" xfId="1" applyNumberFormat="1" applyFont="1"/>
    <xf numFmtId="9" fontId="5" fillId="0" borderId="0" xfId="2" applyFont="1" applyProtection="1"/>
    <xf numFmtId="165" fontId="5" fillId="0" borderId="0" xfId="2" applyNumberFormat="1" applyFont="1" applyProtection="1"/>
    <xf numFmtId="166" fontId="3" fillId="2" borderId="0" xfId="0" applyNumberFormat="1" applyFont="1" applyFill="1" applyAlignment="1">
      <alignment horizontal="centerContinuous"/>
    </xf>
    <xf numFmtId="166" fontId="4" fillId="3" borderId="0" xfId="0" applyNumberFormat="1" applyFont="1" applyFill="1"/>
    <xf numFmtId="166" fontId="4" fillId="3" borderId="0" xfId="0" applyNumberFormat="1" applyFont="1" applyFill="1" applyAlignment="1">
      <alignment vertical="top"/>
    </xf>
    <xf numFmtId="166" fontId="6" fillId="4" borderId="1" xfId="0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 applyProtection="1">
      <alignment horizontal="right"/>
      <protection locked="0"/>
    </xf>
    <xf numFmtId="166" fontId="4" fillId="5" borderId="0" xfId="1" applyNumberFormat="1" applyFont="1" applyFill="1" applyBorder="1" applyAlignment="1" applyProtection="1">
      <alignment horizontal="right"/>
      <protection locked="0"/>
    </xf>
    <xf numFmtId="166" fontId="6" fillId="4" borderId="3" xfId="1" applyNumberFormat="1" applyFont="1" applyFill="1" applyBorder="1" applyAlignment="1" applyProtection="1">
      <alignment vertical="center"/>
    </xf>
    <xf numFmtId="166" fontId="0" fillId="0" borderId="0" xfId="0" applyNumberFormat="1"/>
    <xf numFmtId="10" fontId="6" fillId="4" borderId="3" xfId="2" applyNumberFormat="1" applyFont="1" applyFill="1" applyBorder="1" applyAlignment="1" applyProtection="1">
      <alignment vertical="center"/>
    </xf>
    <xf numFmtId="0" fontId="6" fillId="3" borderId="0" xfId="0" quotePrefix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24" workbookViewId="0">
      <selection activeCell="C3" sqref="C2:C3"/>
    </sheetView>
  </sheetViews>
  <sheetFormatPr defaultRowHeight="14.4" x14ac:dyDescent="0.3"/>
  <cols>
    <col min="1" max="1" width="32.33203125" bestFit="1" customWidth="1"/>
    <col min="2" max="2" width="10.44140625" bestFit="1" customWidth="1"/>
    <col min="3" max="3" width="13.109375" style="27" bestFit="1" customWidth="1"/>
  </cols>
  <sheetData>
    <row r="1" spans="1:3" ht="33" x14ac:dyDescent="0.3">
      <c r="A1" s="1" t="s">
        <v>0</v>
      </c>
      <c r="B1" s="2"/>
      <c r="C1" s="20"/>
    </row>
    <row r="2" spans="1:3" ht="13.2" customHeight="1" x14ac:dyDescent="0.3">
      <c r="A2" s="3"/>
      <c r="B2" s="4"/>
      <c r="C2" s="29"/>
    </row>
    <row r="3" spans="1:3" x14ac:dyDescent="0.3">
      <c r="A3" s="6" t="s">
        <v>6</v>
      </c>
      <c r="B3" s="5">
        <v>4008163.2653061245</v>
      </c>
      <c r="C3" s="5"/>
    </row>
    <row r="4" spans="1:3" x14ac:dyDescent="0.3">
      <c r="A4" s="6" t="s">
        <v>8</v>
      </c>
      <c r="B4" s="19">
        <v>0.09</v>
      </c>
      <c r="C4" s="21"/>
    </row>
    <row r="5" spans="1:3" ht="13.2" customHeight="1" x14ac:dyDescent="0.3">
      <c r="A5" s="6" t="s">
        <v>7</v>
      </c>
      <c r="B5" s="18">
        <v>0.28499999999999998</v>
      </c>
      <c r="C5" s="21"/>
    </row>
    <row r="6" spans="1:3" ht="13.2" customHeight="1" x14ac:dyDescent="0.3">
      <c r="A6" s="6" t="s">
        <v>1</v>
      </c>
      <c r="B6" s="7">
        <f>(1+B5)^(1/12)-1</f>
        <v>2.11164217511286E-2</v>
      </c>
      <c r="C6" s="7">
        <v>2.1000000000000001E-2</v>
      </c>
    </row>
    <row r="7" spans="1:3" x14ac:dyDescent="0.3">
      <c r="A7" s="8"/>
      <c r="B7" s="9"/>
      <c r="C7" s="22"/>
    </row>
    <row r="8" spans="1:3" ht="15" thickBot="1" x14ac:dyDescent="0.35">
      <c r="A8" s="10" t="s">
        <v>2</v>
      </c>
      <c r="B8" s="11" t="s">
        <v>3</v>
      </c>
      <c r="C8" s="23" t="s">
        <v>4</v>
      </c>
    </row>
    <row r="9" spans="1:3" ht="13.8" customHeight="1" x14ac:dyDescent="0.3">
      <c r="A9" s="12">
        <v>1</v>
      </c>
      <c r="B9" s="13">
        <f>B3*(0.4+B4)</f>
        <v>1964000.0000000009</v>
      </c>
      <c r="C9" s="24">
        <f t="shared" ref="C9:C32" si="0">PV($C$6,A9,0,B9)</f>
        <v>-1923604.3095004908</v>
      </c>
    </row>
    <row r="10" spans="1:3" ht="13.8" customHeight="1" x14ac:dyDescent="0.3">
      <c r="A10" s="12">
        <v>1</v>
      </c>
      <c r="B10" s="13">
        <v>164000</v>
      </c>
      <c r="C10" s="24">
        <f t="shared" si="0"/>
        <v>-160626.83643486779</v>
      </c>
    </row>
    <row r="11" spans="1:3" x14ac:dyDescent="0.3">
      <c r="A11" s="12">
        <f>+A9+1</f>
        <v>2</v>
      </c>
      <c r="B11" s="13">
        <v>164000</v>
      </c>
      <c r="C11" s="24">
        <f t="shared" si="0"/>
        <v>-157323.05233581568</v>
      </c>
    </row>
    <row r="12" spans="1:3" x14ac:dyDescent="0.3">
      <c r="A12" s="12">
        <f t="shared" ref="A12:A32" si="1">+A11+1</f>
        <v>3</v>
      </c>
      <c r="B12" s="13">
        <v>164000</v>
      </c>
      <c r="C12" s="24">
        <f t="shared" si="0"/>
        <v>-154087.22070109274</v>
      </c>
    </row>
    <row r="13" spans="1:3" x14ac:dyDescent="0.3">
      <c r="A13" s="12">
        <f t="shared" si="1"/>
        <v>4</v>
      </c>
      <c r="B13" s="13">
        <v>164000</v>
      </c>
      <c r="C13" s="24">
        <f t="shared" si="0"/>
        <v>-150917.94387962075</v>
      </c>
    </row>
    <row r="14" spans="1:3" x14ac:dyDescent="0.3">
      <c r="A14" s="12">
        <f t="shared" si="1"/>
        <v>5</v>
      </c>
      <c r="B14" s="13">
        <v>164000</v>
      </c>
      <c r="C14" s="24">
        <f t="shared" si="0"/>
        <v>-147813.85296730732</v>
      </c>
    </row>
    <row r="15" spans="1:3" x14ac:dyDescent="0.3">
      <c r="A15" s="14">
        <f t="shared" si="1"/>
        <v>6</v>
      </c>
      <c r="B15" s="15">
        <v>164000</v>
      </c>
      <c r="C15" s="25">
        <f t="shared" si="0"/>
        <v>-144773.60721577602</v>
      </c>
    </row>
    <row r="16" spans="1:3" x14ac:dyDescent="0.3">
      <c r="A16" s="12">
        <f t="shared" si="1"/>
        <v>7</v>
      </c>
      <c r="B16" s="13">
        <v>132000</v>
      </c>
      <c r="C16" s="24">
        <f t="shared" si="0"/>
        <v>-114128.40204774395</v>
      </c>
    </row>
    <row r="17" spans="1:3" x14ac:dyDescent="0.3">
      <c r="A17" s="12">
        <f t="shared" si="1"/>
        <v>8</v>
      </c>
      <c r="B17" s="13">
        <v>132000</v>
      </c>
      <c r="C17" s="24">
        <f t="shared" si="0"/>
        <v>-111781.00102619389</v>
      </c>
    </row>
    <row r="18" spans="1:3" x14ac:dyDescent="0.3">
      <c r="A18" s="12">
        <f t="shared" si="1"/>
        <v>9</v>
      </c>
      <c r="B18" s="13">
        <v>132000</v>
      </c>
      <c r="C18" s="24">
        <f t="shared" si="0"/>
        <v>-109481.88151439169</v>
      </c>
    </row>
    <row r="19" spans="1:3" x14ac:dyDescent="0.3">
      <c r="A19" s="12">
        <f t="shared" si="1"/>
        <v>10</v>
      </c>
      <c r="B19" s="13">
        <v>132000</v>
      </c>
      <c r="C19" s="24">
        <f t="shared" si="0"/>
        <v>-107230.05045484006</v>
      </c>
    </row>
    <row r="20" spans="1:3" x14ac:dyDescent="0.3">
      <c r="A20" s="12">
        <f t="shared" si="1"/>
        <v>11</v>
      </c>
      <c r="B20" s="13">
        <v>132000</v>
      </c>
      <c r="C20" s="24">
        <f t="shared" si="0"/>
        <v>-105024.53521531838</v>
      </c>
    </row>
    <row r="21" spans="1:3" x14ac:dyDescent="0.3">
      <c r="A21" s="12">
        <f t="shared" si="1"/>
        <v>12</v>
      </c>
      <c r="B21" s="13">
        <v>132000</v>
      </c>
      <c r="C21" s="24">
        <f t="shared" si="0"/>
        <v>-102864.38316877415</v>
      </c>
    </row>
    <row r="22" spans="1:3" x14ac:dyDescent="0.3">
      <c r="A22" s="12">
        <f t="shared" si="1"/>
        <v>13</v>
      </c>
      <c r="B22" s="13">
        <v>132000</v>
      </c>
      <c r="C22" s="24">
        <f t="shared" si="0"/>
        <v>-100748.66128185519</v>
      </c>
    </row>
    <row r="23" spans="1:3" x14ac:dyDescent="0.3">
      <c r="A23" s="12">
        <f t="shared" si="1"/>
        <v>14</v>
      </c>
      <c r="B23" s="13">
        <v>132000</v>
      </c>
      <c r="C23" s="24">
        <f t="shared" si="0"/>
        <v>-98676.45571190519</v>
      </c>
    </row>
    <row r="24" spans="1:3" x14ac:dyDescent="0.3">
      <c r="A24" s="12">
        <f t="shared" si="1"/>
        <v>15</v>
      </c>
      <c r="B24" s="13">
        <v>132000</v>
      </c>
      <c r="C24" s="24">
        <f t="shared" si="0"/>
        <v>-96646.871412248001</v>
      </c>
    </row>
    <row r="25" spans="1:3" x14ac:dyDescent="0.3">
      <c r="A25" s="12">
        <f t="shared" si="1"/>
        <v>16</v>
      </c>
      <c r="B25" s="13">
        <v>132000</v>
      </c>
      <c r="C25" s="24">
        <f t="shared" si="0"/>
        <v>-94659.031745590604</v>
      </c>
    </row>
    <row r="26" spans="1:3" x14ac:dyDescent="0.3">
      <c r="A26" s="12">
        <f t="shared" si="1"/>
        <v>17</v>
      </c>
      <c r="B26" s="13">
        <v>132000</v>
      </c>
      <c r="C26" s="24">
        <f t="shared" si="0"/>
        <v>-92712.078105377674</v>
      </c>
    </row>
    <row r="27" spans="1:3" x14ac:dyDescent="0.3">
      <c r="A27" s="12">
        <f t="shared" si="1"/>
        <v>18</v>
      </c>
      <c r="B27" s="13">
        <v>132000</v>
      </c>
      <c r="C27" s="24">
        <f t="shared" si="0"/>
        <v>-90805.169544934077</v>
      </c>
    </row>
    <row r="28" spans="1:3" x14ac:dyDescent="0.3">
      <c r="A28" s="12">
        <f t="shared" si="1"/>
        <v>19</v>
      </c>
      <c r="B28" s="13">
        <v>132000</v>
      </c>
      <c r="C28" s="24">
        <f t="shared" si="0"/>
        <v>-88937.482414235143</v>
      </c>
    </row>
    <row r="29" spans="1:3" x14ac:dyDescent="0.3">
      <c r="A29" s="12">
        <f t="shared" si="1"/>
        <v>20</v>
      </c>
      <c r="B29" s="13">
        <v>132000</v>
      </c>
      <c r="C29" s="24">
        <f t="shared" si="0"/>
        <v>-87108.210004148059</v>
      </c>
    </row>
    <row r="30" spans="1:3" x14ac:dyDescent="0.3">
      <c r="A30" s="12">
        <f t="shared" si="1"/>
        <v>21</v>
      </c>
      <c r="B30" s="13">
        <v>132000</v>
      </c>
      <c r="C30" s="24">
        <f t="shared" si="0"/>
        <v>-85316.562197990264</v>
      </c>
    </row>
    <row r="31" spans="1:3" x14ac:dyDescent="0.3">
      <c r="A31" s="12">
        <f t="shared" si="1"/>
        <v>22</v>
      </c>
      <c r="B31" s="13">
        <v>132000</v>
      </c>
      <c r="C31" s="24">
        <f t="shared" si="0"/>
        <v>-83561.76513025492</v>
      </c>
    </row>
    <row r="32" spans="1:3" ht="15" thickBot="1" x14ac:dyDescent="0.35">
      <c r="A32" s="12">
        <f t="shared" si="1"/>
        <v>23</v>
      </c>
      <c r="B32" s="13">
        <v>260000</v>
      </c>
      <c r="C32" s="24">
        <f t="shared" si="0"/>
        <v>-161206.02895160925</v>
      </c>
    </row>
    <row r="33" spans="1:3" ht="15" thickBot="1" x14ac:dyDescent="0.35">
      <c r="A33" s="16" t="s">
        <v>5</v>
      </c>
      <c r="B33" s="26">
        <f>SUM(B9:B32)</f>
        <v>5320000.0000000009</v>
      </c>
      <c r="C33" s="26">
        <f>-SUM(C9:C32)</f>
        <v>4570035.3929623831</v>
      </c>
    </row>
    <row r="34" spans="1:3" ht="15.6" thickTop="1" thickBot="1" x14ac:dyDescent="0.35">
      <c r="A34" s="16" t="s">
        <v>9</v>
      </c>
      <c r="B34" s="28">
        <f>RATE(A32,-B33/A32,B3)</f>
        <v>2.5019419629345493E-2</v>
      </c>
    </row>
    <row r="35" spans="1:3" ht="15.6" thickTop="1" thickBot="1" x14ac:dyDescent="0.35">
      <c r="A35" s="16" t="s">
        <v>10</v>
      </c>
      <c r="B35" s="28">
        <f>EFFECT(B34*12,24)</f>
        <v>0.34766118900748455</v>
      </c>
    </row>
    <row r="36" spans="1:3" ht="15" thickTop="1" x14ac:dyDescent="0.3">
      <c r="B3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Altay</dc:creator>
  <cp:lastModifiedBy>Mustafa Süner</cp:lastModifiedBy>
  <dcterms:created xsi:type="dcterms:W3CDTF">2015-06-05T18:17:20Z</dcterms:created>
  <dcterms:modified xsi:type="dcterms:W3CDTF">2026-04-21T18:18:47Z</dcterms:modified>
</cp:coreProperties>
</file>